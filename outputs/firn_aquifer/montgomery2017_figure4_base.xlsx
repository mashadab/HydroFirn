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3c737f8bb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4 base" sheetId="1" r:id="R056071287dad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"/>
  </x:numFmts>
  <x:fonts count="5">
    <x:font>
      <x:sz val="11"/>
      <x:name val="Carlito"/>
    </x:font>
    <x:font>
      <x:sz val="10"/>
      <x:color rgb="FF202A35"/>
      <x:name val="Arial"/>
    </x:font>
    <x:font>
      <x:b/>
      <x:sz val="10"/>
      <x:color rgb="FFFFFFFF"/>
      <x:name val="Arial"/>
    </x:font>
    <x:font>
      <x:sz val="10"/>
      <x:color rgb="FF8A3C00"/>
      <x:name val="Arial"/>
    </x:font>
    <x:font>
      <x:b/>
      <x:sz val="10"/>
      <x:color rgb="FF202A3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485D"/>
      </x:patternFill>
    </x:fill>
    <x:fill>
      <x:patternFill patternType="solid">
        <x:fgColor rgb="FFF0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2fba783ed4810" /><Relationship Type="http://schemas.openxmlformats.org/officeDocument/2006/relationships/theme" Target="/xl/theme/theme1.xml" Id="Ra5600964f6434f66" /><Relationship Type="http://schemas.openxmlformats.org/officeDocument/2006/relationships/sharedStrings" Target="/xl/sharedStrings.xml" Id="R53be613fcdd24ffa" /><Relationship Type="http://schemas.openxmlformats.org/officeDocument/2006/relationships/worksheet" Target="/xl/worksheets/sheet1.xml" Id="R056071287dad41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12" hidden="0" customWidth="1"/>
    <x:col min="4" max="4" width="14" hidden="0" customWidth="1"/>
    <x:col min="5" max="5" width="20" hidden="0" customWidth="1"/>
    <x:col min="6" max="6" width="20" hidden="0" customWidth="1"/>
    <x:col min="7" max="7" width="24" hidden="0" customWidth="1"/>
    <x:col min="8" max="8" width="28" hidden="0" customWidth="1"/>
    <x:col min="9" max="9" width="34" hidden="0" customWidth="1"/>
    <x:col min="10" max="10" width="3" hidden="0" customWidth="1"/>
    <x:col min="11" max="11" width="22" hidden="0" customWidth="1"/>
    <x:col min="12" max="12" width="140" hidden="0" customWidth="1"/>
  </x:cols>
  <x:sheetData>
    <x:row r="1" ht="25" customHeight="1">
      <x:c r="A1" s="6" t="str">
        <x:v>Site</x:v>
      </x:c>
      <x:c r="B1" s="6" t="str">
        <x:v>Year</x:v>
      </x:c>
      <x:c r="C1" s="6" t="str">
        <x:v>D (km)</x:v>
      </x:c>
      <x:c r="D1" s="6" t="str">
        <x:v>x (m)</x:v>
      </x:c>
      <x:c r="E1" s="6" t="str">
        <x:v>Surface E
(m a.s.l.)</x:v>
      </x:c>
      <x:c r="F1" s="6" t="str">
        <x:v>H from Table 1
(m)</x:v>
      </x:c>
      <x:c r="G1" s="6" t="str">
        <x:v>Base depth approx.
(m)</x:v>
      </x:c>
      <x:c r="H1" s="6" t="str">
        <x:v>Base elevation approx.
(m a.s.l.)</x:v>
      </x:c>
      <x:c r="I1" s="6" t="str">
        <x:v>Data note</x:v>
      </x:c>
      <x:c r="J1" s="2"/>
      <x:c r="K1" s="4" t="str">
        <x:v>Source notes</x:v>
      </x:c>
      <x:c r="L1" s="4" t="str">
        <x:v>Definition</x:v>
      </x:c>
    </x:row>
    <x:row r="2" ht="25" customHeight="1">
      <x:c r="A2" s="2" t="str">
        <x:v>12 (a)</x:v>
      </x:c>
      <x:c r="B2" s="10" t="n">
        <x:v>2016</x:v>
      </x:c>
      <x:c r="C2" s="12" t="n">
        <x:v>0.41</x:v>
      </x:c>
      <x:c r="D2" s="10" t="n">
        <x:f>C2*1000</x:f>
        <x:v>410</x:v>
      </x:c>
      <x:c r="E2" s="10" t="n">
        <x:v>1518</x:v>
      </x:c>
      <x:c r="F2" s="10" t="n">
        <x:v>20</x:v>
      </x:c>
      <x:c r="G2" s="14" t="n">
        <x:v>31</x:v>
      </x:c>
      <x:c r="H2" s="14" t="n">
        <x:f>E2-G2</x:f>
        <x:v>1487</x:v>
      </x:c>
      <x:c r="I2" s="2" t="str"/>
      <x:c r="J2" s="2"/>
      <x:c r="K2" s="17" t="str">
        <x:v>Source</x:v>
      </x:c>
      <x:c r="L2" s="2" t="str">
        <x:v>Montgomery et al. (2017), Figure 4 and Table 1, p. 6. DOI: 10.3389/feart.2017.00010</x:v>
      </x:c>
    </x:row>
    <x:row r="3" ht="25" customHeight="1">
      <x:c r="A3" s="7" t="str">
        <x:v>11</x:v>
      </x:c>
      <x:c r="B3" s="11" t="n">
        <x:v>2016</x:v>
      </x:c>
      <x:c r="C3" s="13" t="n">
        <x:v>1.69</x:v>
      </x:c>
      <x:c r="D3" s="11" t="n">
        <x:f>C3*1000</x:f>
        <x:v>1690</x:v>
      </x:c>
      <x:c r="E3" s="11" t="n">
        <x:v>1538</x:v>
      </x:c>
      <x:c r="F3" s="11" t="n">
        <x:v>8</x:v>
      </x:c>
      <x:c r="G3" s="15" t="n">
        <x:v>24</x:v>
      </x:c>
      <x:c r="H3" s="15" t="n">
        <x:f>E3-G3</x:f>
        <x:v>1514</x:v>
      </x:c>
      <x:c r="I3" s="7" t="str"/>
      <x:c r="J3" s="2"/>
      <x:c r="K3" s="17" t="str">
        <x:v>Scope</x:v>
      </x:c>
      <x:c r="L3" s="2" t="str">
        <x:v>11 profiles from 2016; site suffixes are matched to the 2016 rows of Table 1.</x:v>
      </x:c>
    </x:row>
    <x:row r="4" ht="25" customHeight="1">
      <x:c r="A4" s="2" t="str">
        <x:v>10 (a)</x:v>
      </x:c>
      <x:c r="B4" s="10" t="n">
        <x:v>2016</x:v>
      </x:c>
      <x:c r="C4" s="12" t="n">
        <x:v>3.24</x:v>
      </x:c>
      <x:c r="D4" s="10" t="n">
        <x:f>C4*1000</x:f>
        <x:v>3240</x:v>
      </x:c>
      <x:c r="E4" s="10" t="n">
        <x:v>1560</x:v>
      </x:c>
      <x:c r="F4" s="10" t="n">
        <x:v>6</x:v>
      </x:c>
      <x:c r="G4" s="14" t="n">
        <x:v>25.5</x:v>
      </x:c>
      <x:c r="H4" s="14" t="n">
        <x:f>E4-G4</x:f>
        <x:v>1534.5</x:v>
      </x:c>
      <x:c r="I4" s="2" t="str"/>
      <x:c r="J4" s="2"/>
      <x:c r="K4" s="17" t="str">
        <x:v>Boundary</x:v>
      </x:c>
      <x:c r="L4" s="2" t="str">
        <x:v>Lower dashed boundary identified as the aquifer base in the Figure 4 caption.</x:v>
      </x:c>
    </x:row>
    <x:row r="5" ht="25" customHeight="1">
      <x:c r="A5" s="7" t="str">
        <x:v>8 (a)</x:v>
      </x:c>
      <x:c r="B5" s="11" t="n">
        <x:v>2016</x:v>
      </x:c>
      <x:c r="C5" s="13" t="n">
        <x:v>5.2</x:v>
      </x:c>
      <x:c r="D5" s="11" t="n">
        <x:f>C5*1000</x:f>
        <x:v>5200</x:v>
      </x:c>
      <x:c r="E5" s="11" t="n">
        <x:v>1618</x:v>
      </x:c>
      <x:c r="F5" s="11" t="n">
        <x:v>8</x:v>
      </x:c>
      <x:c r="G5" s="15" t="n">
        <x:v>28</x:v>
      </x:c>
      <x:c r="H5" s="15" t="n">
        <x:f>E5-G5</x:f>
        <x:v>1590</x:v>
      </x:c>
      <x:c r="I5" s="7" t="str"/>
      <x:c r="J5" s="2"/>
      <x:c r="K5" s="17" t="str">
        <x:v>Vertical scale</x:v>
      </x:c>
      <x:c r="L5" s="2" t="str">
        <x:v>0-50 m labeled depth axis; local zero-depth surface offsets are accounted for.</x:v>
      </x:c>
    </x:row>
    <x:row r="6" ht="25" customHeight="1">
      <x:c r="A6" s="2" t="str">
        <x:v>7</x:v>
      </x:c>
      <x:c r="B6" s="10" t="n">
        <x:v>2016</x:v>
      </x:c>
      <x:c r="C6" s="12" t="n">
        <x:v>7.5</x:v>
      </x:c>
      <x:c r="D6" s="10" t="n">
        <x:f>C6*1000</x:f>
        <x:v>7500</x:v>
      </x:c>
      <x:c r="E6" s="10" t="n">
        <x:v>1647</x:v>
      </x:c>
      <x:c r="F6" s="10" t="n">
        <x:v>8</x:v>
      </x:c>
      <x:c r="G6" s="14" t="n">
        <x:v>27</x:v>
      </x:c>
      <x:c r="H6" s="14" t="n">
        <x:f>E6-G6</x:f>
        <x:v>1620</x:v>
      </x:c>
      <x:c r="I6" s="2" t="str"/>
      <x:c r="J6" s="2"/>
      <x:c r="K6" s="17" t="str">
        <x:v>Reference</x:v>
      </x:c>
      <x:c r="L6" s="2" t="str">
        <x:v>Each profile uses its thin vertical reference line; nearby visible dashed segments are extended to that line.</x:v>
      </x:c>
    </x:row>
    <x:row r="7" ht="25" customHeight="1">
      <x:c r="A7" s="7" t="str">
        <x:v>6 (b)</x:v>
      </x:c>
      <x:c r="B7" s="11" t="n">
        <x:v>2016</x:v>
      </x:c>
      <x:c r="C7" s="13" t="n">
        <x:v>8.37</x:v>
      </x:c>
      <x:c r="D7" s="11" t="n">
        <x:f>C7*1000</x:f>
        <x:v>8370</x:v>
      </x:c>
      <x:c r="E7" s="11" t="n">
        <x:v>1661</x:v>
      </x:c>
      <x:c r="F7" s="11" t="n">
        <x:v>11</x:v>
      </x:c>
      <x:c r="G7" s="15" t="n">
        <x:v>27.5</x:v>
      </x:c>
      <x:c r="H7" s="15" t="n">
        <x:f>E7-G7</x:f>
        <x:v>1633.5</x:v>
      </x:c>
      <x:c r="I7" s="7" t="str"/>
      <x:c r="J7" s="2"/>
      <x:c r="K7" s="17" t="str">
        <x:v>Digitization</x:v>
      </x:c>
      <x:c r="L7" s="2" t="str">
        <x:v>Line-pixel fits in the original 1547 x 659 embedded image; averaged incoming/outgoing line fits where available.</x:v>
      </x:c>
    </x:row>
    <x:row r="8" ht="25" customHeight="1">
      <x:c r="A8" s="2" t="str">
        <x:v>5</x:v>
      </x:c>
      <x:c r="B8" s="10" t="n">
        <x:v>2016</x:v>
      </x:c>
      <x:c r="C8" s="12" t="n">
        <x:v>10.94</x:v>
      </x:c>
      <x:c r="D8" s="10" t="n">
        <x:f>C8*1000</x:f>
        <x:v>10940</x:v>
      </x:c>
      <x:c r="E8" s="10" t="n">
        <x:v>1691</x:v>
      </x:c>
      <x:c r="F8" s="10" t="n">
        <x:v>17</x:v>
      </x:c>
      <x:c r="G8" s="14" t="n">
        <x:v>25.5</x:v>
      </x:c>
      <x:c r="H8" s="14" t="n">
        <x:f>E8-G8</x:f>
        <x:v>1665.5</x:v>
      </x:c>
      <x:c r="I8" s="16" t="str">
        <x:v>Site 5 thickness discrepancy</x:v>
      </x:c>
      <x:c r="J8" s="2"/>
      <x:c r="K8" s="17" t="str">
        <x:v>Precision</x:v>
      </x:c>
      <x:c r="L8" s="2" t="str">
        <x:v>Depths are approximate graph readings, rounded to 0.5 m. This is a reporting increment, not a measurement uncertainty.</x:v>
      </x:c>
    </x:row>
    <x:row r="9" ht="25" customHeight="1">
      <x:c r="A9" s="7" t="str">
        <x:v>4</x:v>
      </x:c>
      <x:c r="B9" s="11" t="n">
        <x:v>2016</x:v>
      </x:c>
      <x:c r="C9" s="13" t="n">
        <x:v>12.63</x:v>
      </x:c>
      <x:c r="D9" s="11" t="n">
        <x:f>C9*1000</x:f>
        <x:v>12630</x:v>
      </x:c>
      <x:c r="E9" s="11" t="n">
        <x:v>1710</x:v>
      </x:c>
      <x:c r="F9" s="11" t="n">
        <x:v>9</x:v>
      </x:c>
      <x:c r="G9" s="15" t="n">
        <x:v>29.5</x:v>
      </x:c>
      <x:c r="H9" s="15" t="n">
        <x:f>E9-G9</x:f>
        <x:v>1680.5</x:v>
      </x:c>
      <x:c r="I9" s="7" t="str"/>
      <x:c r="J9" s="2"/>
      <x:c r="K9" s="17" t="str">
        <x:v>Scientific errors</x:v>
      </x:c>
      <x:c r="L9" s="2" t="str">
        <x:v>Original geophysical and surface-elevation uncertainties are not propagated; consult the paper and Table 1.</x:v>
      </x:c>
    </x:row>
    <x:row r="10" ht="25" customHeight="1">
      <x:c r="A10" s="2" t="str">
        <x:v>3</x:v>
      </x:c>
      <x:c r="B10" s="10" t="n">
        <x:v>2016</x:v>
      </x:c>
      <x:c r="C10" s="12" t="n">
        <x:v>13.99</x:v>
      </x:c>
      <x:c r="D10" s="10" t="n">
        <x:f>C10*1000</x:f>
        <x:v>13990</x:v>
      </x:c>
      <x:c r="E10" s="10" t="n">
        <x:v>1711</x:v>
      </x:c>
      <x:c r="F10" s="10" t="n">
        <x:v>13</x:v>
      </x:c>
      <x:c r="G10" s="14" t="n">
        <x:v>30.5</x:v>
      </x:c>
      <x:c r="H10" s="14" t="n">
        <x:f>E10-G10</x:f>
        <x:v>1680.5</x:v>
      </x:c>
      <x:c r="I10" s="2" t="str"/>
      <x:c r="J10" s="2"/>
      <x:c r="K10" s="17" t="str">
        <x:v>Horizontal coordinate</x:v>
      </x:c>
      <x:c r="L10" s="2" t="str">
        <x:v>x=1000 D (m); D is the published distance from Site 12. No latitude/longitude projection is used.</x:v>
      </x:c>
    </x:row>
    <x:row r="11" ht="25" customHeight="1">
      <x:c r="A11" s="7" t="str">
        <x:v>2 (a)</x:v>
      </x:c>
      <x:c r="B11" s="11" t="n">
        <x:v>2016</x:v>
      </x:c>
      <x:c r="C11" s="13" t="n">
        <x:v>16.27</x:v>
      </x:c>
      <x:c r="D11" s="11" t="n">
        <x:f>C11*1000</x:f>
        <x:v>16270</x:v>
      </x:c>
      <x:c r="E11" s="11" t="n">
        <x:v>1755</x:v>
      </x:c>
      <x:c r="F11" s="11" t="n">
        <x:v>9</x:v>
      </x:c>
      <x:c r="G11" s="15" t="n">
        <x:v>29</x:v>
      </x:c>
      <x:c r="H11" s="15" t="n">
        <x:f>E11-G11</x:f>
        <x:v>1726</x:v>
      </x:c>
      <x:c r="I11" s="7" t="str"/>
      <x:c r="J11" s="2"/>
      <x:c r="K11" s="17" t="str">
        <x:v>Elevation</x:v>
      </x:c>
      <x:c r="L11" s="2" t="str">
        <x:v>Estimated base elevation = Table 1 surface elevation E - estimated base depth. Elevation datum follows Table 1.</x:v>
      </x:c>
    </x:row>
    <x:row r="12" ht="25" customHeight="1">
      <x:c r="A12" s="2" t="str">
        <x:v>1</x:v>
      </x:c>
      <x:c r="B12" s="10" t="n">
        <x:v>2016</x:v>
      </x:c>
      <x:c r="C12" s="12" t="n">
        <x:v>18.35</x:v>
      </x:c>
      <x:c r="D12" s="10" t="n">
        <x:f>C12*1000</x:f>
        <x:v>18350</x:v>
      </x:c>
      <x:c r="E12" s="10" t="n">
        <x:v>1770</x:v>
      </x:c>
      <x:c r="F12" s="10" t="n">
        <x:v>6</x:v>
      </x:c>
      <x:c r="G12" s="14" t="n">
        <x:v>28.5</x:v>
      </x:c>
      <x:c r="H12" s="14" t="n">
        <x:f>E12-G12</x:f>
        <x:v>1741.5</x:v>
      </x:c>
      <x:c r="I12" s="2" t="str"/>
      <x:c r="J12" s="2"/>
      <x:c r="K12" s="17" t="str">
        <x:v>Coverage</x:v>
      </x:c>
      <x:c r="L12" s="2" t="str">
        <x:v>Observed 2016 points span D=0.41 to 18.35 km. No interpolation or extrapolation along the transect.</x:v>
      </x:c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17" t="str">
        <x:v>Figure 5 check</x:v>
      </x:c>
      <x:c r="L13" s="2" t="str">
        <x:v>Figure 4 unrounded readings agree within 1 m with independently read 2016 base markers in Figure 5B.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17" t="str">
        <x:v>Site 5 discrepancy</x:v>
      </x:c>
      <x:c r="L14" s="2" t="str">
        <x:v>Table 1 gives H=17 m; Figures 4 and 5 indicate a top/base separation of about 9 m. H is retained as published.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17" t="str">
        <x:v>Top boundary</x:v>
      </x:c>
      <x:c r="L15" s="2" t="str">
        <x:v>No aquifer-top elevations are generated, to avoid silently resolving the Site 5 discrepancy.</x:v>
      </x:c>
    </x:row>
  </x:sheetData>
  <x:pageMargins left="0.7" right="0.7" top="0.75" bottom="0.75" header="0.3" footer="0.3"/>
</x:worksheet>
</file>